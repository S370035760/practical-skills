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x\outputs\warehouse-stocktake-cutoff-20261014\"/>
    </mc:Choice>
  </mc:AlternateContent>
  <bookViews>
    <workbookView/>
  </bookViews>
  <sheets>
    <sheet name="说明与范围" sheetId="1" r:id="rId1"/>
    <sheet name="业务流水" sheetId="2" r:id="rId2"/>
    <sheet name="时点桥接" sheetId="3" r:id="rId3"/>
    <sheet name="复核记录" sheetId="4" r:id="rId4"/>
  </sheets>
  <definedNames>
    <definedName name="_xlnm._FilterDatabase" localSheetId="1" hidden="1">业务流水!$A$5:$I$35</definedName>
    <definedName name="_xlnm.Print_Area" localSheetId="0">说明与范围!$A$1:$I$22</definedName>
    <definedName name="_xlnm.Print_Area" localSheetId="1">业务流水!$A$1:$I$20</definedName>
    <definedName name="_xlnm.Print_Area" localSheetId="2">时点桥接!$A$1:$I$20</definedName>
    <definedName name="_xlnm.Print_Area" localSheetId="3">复核记录!$A$1:$I$20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<sst xmlns="http://schemas.openxmlformats.org/spreadsheetml/2006/main" count="91" uniqueCount="79">
  <si>
    <t>说明与范围  仓库盘点统一时点核对</t>
  </si>
  <si>
    <t>先填黄色输入，核齐同一范围的真实业务流水，再读时点桥接。示例为合成教学，不是客户/Coze输出。固定kg，不与件/箱混算；缺资料填待核，不填猜测数字。</t>
  </si>
  <si>
    <t>底表快照时点</t>
  </si>
  <si>
    <t>范围必须同时固定商品、批次、库位、货主、状态和单位。实际发生时间与入账状态分开记录；底表已含的业务不得再加一次。</t>
  </si>
  <si>
    <t>统一比较时点T0</t>
  </si>
  <si>
    <t>实点完成时点</t>
  </si>
  <si>
    <t>底表快照数量 kg</t>
  </si>
  <si>
    <t>实点数量 kg</t>
  </si>
  <si>
    <t>窗口流水完整性</t>
  </si>
  <si>
    <t>已核齐</t>
  </si>
  <si>
    <t>不能停仓时，对每个范围记录实点时刻，并用T0之后至实点之间的入出流水回推。流水不能补齐、跨批或变更状态说不清，就停在待核，或隔离该区域重盘。</t>
  </si>
  <si>
    <t>范围ID</t>
  </si>
  <si>
    <t>S1</t>
  </si>
  <si>
    <t>商品</t>
  </si>
  <si>
    <t>苹果原料A</t>
  </si>
  <si>
    <t>批次</t>
  </si>
  <si>
    <t>LOT1</t>
  </si>
  <si>
    <t>库位</t>
  </si>
  <si>
    <t>R01</t>
  </si>
  <si>
    <t>货主</t>
  </si>
  <si>
    <t>自有</t>
  </si>
  <si>
    <t>已核齐是人工证据判断，不是模板证明。公式只检查已填写字段的一致性，不能发现所有漏单，也不自动批准损耗、财务分录或系统调整。</t>
  </si>
  <si>
    <t>库存状态</t>
  </si>
  <si>
    <t>可用</t>
  </si>
  <si>
    <t>固定单位</t>
  </si>
  <si>
    <t>kg</t>
  </si>
  <si>
    <t>教学事件：旧快照200，T0前入60/出40。08:30实点195，T0后出15。T0应有220，实物回推210，差异-10；拿旧快照直接比会误算+10。</t>
  </si>
  <si>
    <t>业务流水  仓库盘点统一时点核对</t>
  </si>
  <si>
    <t>只登记快照之后至实点时点之间、同一范围的实际业务。转入记入，转出记出，一笔只选一个方向；已在快照内的业务不要重复。空白不等于0库存。</t>
  </si>
  <si>
    <t>流水ID</t>
  </si>
  <si>
    <t>实际发生时间</t>
  </si>
  <si>
    <t>入 kg</t>
  </si>
  <si>
    <t>出 kg</t>
  </si>
  <si>
    <t>入账状态</t>
  </si>
  <si>
    <t>单据号</t>
  </si>
  <si>
    <t>证据确认</t>
  </si>
  <si>
    <t>行核验</t>
  </si>
  <si>
    <t>M001</t>
  </si>
  <si>
    <t>已入账</t>
  </si>
  <si>
    <t>RCV001</t>
  </si>
  <si>
    <t>已核</t>
  </si>
  <si>
    <t>M002</t>
  </si>
  <si>
    <t>ISS001</t>
  </si>
  <si>
    <t>M003</t>
  </si>
  <si>
    <t>ISS002</t>
  </si>
  <si>
    <t>时点桥接  仓库盘点统一时点核对</t>
  </si>
  <si>
    <t>灰蓝色为公式。差异=同一时点实物量-应有量；负数为少、正数为多。只是数量复核，不自动调账。</t>
  </si>
  <si>
    <t>输入核对</t>
  </si>
  <si>
    <t>T0前：旧快照+实际入-实际出。这里是业务重建应有量，不是ERP实时余额；未入账单据另补证，不直接当作损耗。</t>
  </si>
  <si>
    <t>快照至T0实际入 kg</t>
  </si>
  <si>
    <t>快照至T0实际出 kg</t>
  </si>
  <si>
    <t>T0应有量 kg</t>
  </si>
  <si>
    <t>实点时刻数量 kg</t>
  </si>
  <si>
    <t>回推T0：晚时点实点-其间入+其间出。若发生加工、拆包、跨批或状态转换，要先补转换记录，不能只按加减库存硬套。</t>
  </si>
  <si>
    <t>T0后至实点入 kg</t>
  </si>
  <si>
    <t>T0后至实点出 kg</t>
  </si>
  <si>
    <t>回推T0实物量 kg</t>
  </si>
  <si>
    <t>正确差异 kg</t>
  </si>
  <si>
    <t>-10kg只说明同口径数量少，不证明偷盗、报损或某人责任。先复点和查单，不能为了把账调平直接批准核销。</t>
  </si>
  <si>
    <t>错误旧账比较 勿用</t>
  </si>
  <si>
    <t>处置状态</t>
  </si>
  <si>
    <t>实点时刻应有量 kg</t>
  </si>
  <si>
    <t>桥接守恒检查</t>
  </si>
  <si>
    <t>复核记录  仓库盘点统一时点核对</t>
  </si>
  <si>
    <t>原始差异、复点结果、单据纠错与审批结论分开留痕。未审不等于批准；本模板不向ERP写入任何调整。</t>
  </si>
  <si>
    <t>问题ID</t>
  </si>
  <si>
    <t>初始差异kg</t>
  </si>
  <si>
    <t>复点时刻</t>
  </si>
  <si>
    <t>复点数量kg</t>
  </si>
  <si>
    <t>原因证据/单号</t>
  </si>
  <si>
    <t>责任人</t>
  </si>
  <si>
    <t>审批状态</t>
  </si>
  <si>
    <t>结论/后续</t>
  </si>
  <si>
    <t>Q001</t>
  </si>
  <si>
    <t>待填写</t>
  </si>
  <si>
    <t>待核原因，不预判</t>
  </si>
  <si>
    <t>待指定</t>
  </si>
  <si>
    <t>未审批</t>
  </si>
  <si>
    <t>先同口径复点/查单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</si>
</sst>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b/>
      <sz val="18"/>
      <color rgb="FFFFFFFF"/>
      <name val="微软雅黑"/>
      <charset val="134"/>
    </font>
    <font>
      <sz val="10"/>
      <color rgb="FF172F43"/>
      <name val="微软雅黑"/>
      <charset val="134"/>
    </font>
    <font>
      <b/>
      <sz val="1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FF4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rgb="FFCAD6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2" fontId="2" fillId="4" borderId="1" xfId="0" applyNumberFormat="1" applyFont="1" applyFill="1" applyBorder="1" applyAlignment="1">
      <alignment vertical="center" wrapText="1"/>
    </xf>
    <xf numFmtId="176" fontId="2" fillId="3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7"/>
  <sheetViews>
    <sheetView showGridLines="0" tabSelected="1" workbookViewId="0">
      <pane xSplit="1" ySplit="5" topLeftCell="B6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4.1"/>
  <cols>
    <col min="1" max="1" width="27" customWidth="1"/>
    <col min="2" max="2" width="24" customWidth="1"/>
    <col min="3" max="9" width="15" customWidth="1"/>
  </cols>
  <sheetData>
    <row r="1" ht="40" customHeight="1" spans="1:9">
      <c r="A1" s="1" t="s">
        <v>0</v>
      </c>
    </row>
    <row r="2" ht="35" customHeight="1" spans="1:9">
      <c r="A2" s="2" t="s">
        <v>1</v>
      </c>
    </row>
    <row r="3" ht="26" customHeight="1" spans="1:9">
      <c r="A3" s="3"/>
      <c r="B3" s="3"/>
      <c r="C3" s="3"/>
      <c r="D3" s="3"/>
      <c r="E3" s="3"/>
      <c r="F3" s="3"/>
      <c r="G3" s="3"/>
      <c r="H3" s="3"/>
      <c r="I3" s="3"/>
    </row>
    <row r="4" ht="25" customHeight="1" spans="1:9">
      <c r="A4" s="2"/>
      <c r="B4" s="2"/>
      <c r="C4" s="2"/>
      <c r="D4" s="2"/>
      <c r="E4" s="2"/>
      <c r="F4" s="2"/>
      <c r="G4" s="2"/>
      <c r="H4" s="2"/>
      <c r="I4" s="2"/>
    </row>
    <row r="5" ht="25" customHeight="1" spans="1:9">
      <c r="A5" s="2" t="s">
        <v>2</v>
      </c>
      <c r="B5" s="7">
        <v>46295.9999884259</v>
      </c>
      <c r="C5" s="2"/>
      <c r="D5" s="2" t="s">
        <v>3</v>
      </c>
    </row>
    <row r="6" ht="25" customHeight="1" spans="1:9">
      <c r="A6" s="2" t="s">
        <v>4</v>
      </c>
      <c r="B6" s="7">
        <v>46296.3333333333</v>
      </c>
      <c r="C6" s="2"/>
    </row>
    <row r="7" ht="25" customHeight="1" spans="1:9">
      <c r="A7" s="2" t="s">
        <v>5</v>
      </c>
      <c r="B7" s="7">
        <v>46296.3541666667</v>
      </c>
      <c r="C7" s="2"/>
    </row>
    <row r="8" ht="25" customHeight="1" spans="1:9">
      <c r="A8" s="2" t="s">
        <v>6</v>
      </c>
      <c r="B8" s="5">
        <v>200</v>
      </c>
      <c r="C8" s="2"/>
      <c r="D8" s="3"/>
      <c r="E8" s="3"/>
      <c r="F8" s="3"/>
      <c r="G8" s="3"/>
      <c r="H8" s="3"/>
      <c r="I8" s="3"/>
    </row>
    <row r="9" ht="25" customHeight="1" spans="1:9">
      <c r="A9" s="2" t="s">
        <v>7</v>
      </c>
      <c r="B9" s="5">
        <v>195</v>
      </c>
      <c r="C9" s="2"/>
      <c r="D9" s="2"/>
      <c r="E9" s="2"/>
      <c r="F9" s="2"/>
      <c r="G9" s="2"/>
      <c r="H9" s="2"/>
      <c r="I9" s="2"/>
    </row>
    <row r="10" ht="25" customHeight="1" spans="1:9">
      <c r="A10" s="2" t="s">
        <v>8</v>
      </c>
      <c r="B10" s="5" t="s">
        <v>9</v>
      </c>
      <c r="C10" s="2"/>
      <c r="D10" s="2" t="s">
        <v>10</v>
      </c>
    </row>
    <row r="11" ht="25" customHeight="1" spans="1:9">
      <c r="A11" s="2" t="s">
        <v>11</v>
      </c>
      <c r="B11" s="5" t="s">
        <v>12</v>
      </c>
      <c r="C11" s="2"/>
    </row>
    <row r="12" ht="25" customHeight="1" spans="1:9">
      <c r="A12" s="2" t="s">
        <v>13</v>
      </c>
      <c r="B12" s="5" t="s">
        <v>14</v>
      </c>
      <c r="C12" s="2"/>
    </row>
    <row r="13" ht="25" customHeight="1" spans="1:9">
      <c r="A13" s="2" t="s">
        <v>15</v>
      </c>
      <c r="B13" s="5" t="s">
        <v>16</v>
      </c>
      <c r="C13" s="2"/>
      <c r="D13" s="3"/>
      <c r="E13" s="3"/>
      <c r="F13" s="3"/>
      <c r="G13" s="3"/>
      <c r="H13" s="3"/>
      <c r="I13" s="3"/>
    </row>
    <row r="14" ht="25" customHeight="1" spans="1:9">
      <c r="A14" s="2" t="s">
        <v>17</v>
      </c>
      <c r="B14" s="5" t="s">
        <v>18</v>
      </c>
      <c r="C14" s="2"/>
      <c r="D14" s="2"/>
      <c r="E14" s="2"/>
      <c r="F14" s="2"/>
      <c r="G14" s="2"/>
      <c r="H14" s="2"/>
      <c r="I14" s="2"/>
    </row>
    <row r="15" ht="25" customHeight="1" spans="1:9">
      <c r="A15" s="2" t="s">
        <v>19</v>
      </c>
      <c r="B15" s="5" t="s">
        <v>20</v>
      </c>
      <c r="C15" s="2"/>
      <c r="D15" s="2" t="s">
        <v>21</v>
      </c>
    </row>
    <row r="16" ht="25" customHeight="1" spans="1:9">
      <c r="A16" s="2" t="s">
        <v>22</v>
      </c>
      <c r="B16" s="5" t="s">
        <v>23</v>
      </c>
      <c r="C16" s="2"/>
    </row>
    <row r="17" ht="25" customHeight="1" spans="1:9">
      <c r="A17" s="2" t="s">
        <v>24</v>
      </c>
      <c r="B17" s="5" t="s">
        <v>25</v>
      </c>
      <c r="C17" s="2"/>
    </row>
    <row r="18" ht="25" customHeight="1" spans="1:9">
      <c r="A18" s="2"/>
      <c r="B18" s="2"/>
      <c r="C18" s="2"/>
      <c r="D18" s="3"/>
      <c r="E18" s="3"/>
      <c r="F18" s="3"/>
      <c r="G18" s="3"/>
      <c r="H18" s="3"/>
      <c r="I18" s="3"/>
    </row>
    <row r="19" ht="25" customHeight="1" spans="1:9">
      <c r="A19" s="2"/>
      <c r="B19" s="2"/>
      <c r="C19" s="2"/>
      <c r="D19" s="2"/>
      <c r="E19" s="2"/>
      <c r="F19" s="2"/>
      <c r="G19" s="2"/>
      <c r="H19" s="2"/>
      <c r="I19" s="2"/>
    </row>
    <row r="20" ht="25" customHeight="1" spans="1:9">
      <c r="A20" s="2" t="s">
        <v>26</v>
      </c>
    </row>
    <row r="21" ht="25" customHeight="1"/>
    <row r="22" ht="2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25" customHeight="1" spans="1:9">
      <c r="A23" s="2"/>
      <c r="B23" s="2"/>
      <c r="C23" s="2"/>
      <c r="D23" s="2"/>
      <c r="E23" s="2"/>
      <c r="F23" s="2"/>
      <c r="G23" s="2"/>
      <c r="H23" s="2"/>
      <c r="I23" s="2"/>
    </row>
    <row r="24" ht="25" customHeight="1" spans="1:9">
      <c r="A24" s="2"/>
      <c r="B24" s="2"/>
      <c r="C24" s="2"/>
      <c r="D24" s="2"/>
      <c r="E24" s="2"/>
      <c r="F24" s="2"/>
      <c r="G24" s="2"/>
      <c r="H24" s="2"/>
      <c r="I24" s="2"/>
    </row>
    <row r="25" ht="25" customHeight="1" spans="1:9">
      <c r="A25" s="2"/>
      <c r="B25" s="2"/>
      <c r="C25" s="2"/>
      <c r="D25" s="2"/>
      <c r="E25" s="2"/>
      <c r="F25" s="2"/>
      <c r="G25" s="2"/>
      <c r="H25" s="2"/>
      <c r="I25" s="2"/>
    </row>
    <row r="26" ht="25" customHeight="1" spans="1:9">
      <c r="A26" s="2"/>
      <c r="B26" s="2"/>
      <c r="C26" s="2"/>
      <c r="D26" s="2"/>
      <c r="E26" s="2"/>
      <c r="F26" s="2"/>
      <c r="G26" s="2"/>
      <c r="H26" s="2"/>
      <c r="I26" s="2"/>
    </row>
    <row r="27" ht="25" customHeight="1" spans="1:9">
      <c r="A27" s="2"/>
      <c r="B27" s="2"/>
      <c r="C27" s="2"/>
      <c r="D27" s="2"/>
      <c r="E27" s="2"/>
      <c r="F27" s="2"/>
      <c r="G27" s="2"/>
      <c r="H27" s="2"/>
      <c r="I27" s="2"/>
    </row>
    <row r="28" ht="25" customHeight="1" spans="1:9">
      <c r="A28" s="2"/>
      <c r="B28" s="2"/>
      <c r="C28" s="2"/>
      <c r="D28" s="2"/>
      <c r="E28" s="2"/>
      <c r="F28" s="2"/>
      <c r="G28" s="2"/>
      <c r="H28" s="2"/>
      <c r="I28" s="2"/>
    </row>
    <row r="29" ht="25" customHeight="1" spans="1:9">
      <c r="A29" s="2"/>
      <c r="B29" s="2"/>
      <c r="C29" s="2"/>
      <c r="D29" s="2"/>
      <c r="E29" s="2"/>
      <c r="F29" s="2"/>
      <c r="G29" s="2"/>
      <c r="H29" s="2"/>
      <c r="I29" s="2"/>
    </row>
    <row r="30" ht="25" customHeight="1" spans="1:9">
      <c r="A30" s="2"/>
      <c r="B30" s="2"/>
      <c r="C30" s="2"/>
      <c r="D30" s="2"/>
      <c r="E30" s="2"/>
      <c r="F30" s="2"/>
      <c r="G30" s="2"/>
      <c r="H30" s="2"/>
      <c r="I30" s="2"/>
    </row>
    <row r="31" ht="25" customHeight="1" spans="1:9">
      <c r="A31" s="2"/>
      <c r="B31" s="2"/>
      <c r="C31" s="2"/>
      <c r="D31" s="2"/>
      <c r="E31" s="2"/>
      <c r="F31" s="2"/>
      <c r="G31" s="2"/>
      <c r="H31" s="2"/>
      <c r="I31" s="2"/>
    </row>
    <row r="32" ht="25" customHeight="1" spans="1:9">
      <c r="A32" s="2"/>
      <c r="B32" s="2"/>
      <c r="C32" s="2"/>
      <c r="D32" s="2"/>
      <c r="E32" s="2"/>
      <c r="F32" s="2"/>
      <c r="G32" s="2"/>
      <c r="H32" s="2"/>
      <c r="I32" s="2"/>
    </row>
    <row r="33" ht="25" customHeight="1" spans="1:9">
      <c r="A33" s="2"/>
      <c r="B33" s="2"/>
      <c r="C33" s="2"/>
      <c r="D33" s="2"/>
      <c r="E33" s="2"/>
      <c r="F33" s="2"/>
      <c r="G33" s="2"/>
      <c r="H33" s="2"/>
      <c r="I33" s="2"/>
    </row>
    <row r="34" ht="25" customHeight="1" spans="1:9">
      <c r="A34" s="2"/>
      <c r="B34" s="2"/>
      <c r="C34" s="2"/>
      <c r="D34" s="2"/>
      <c r="E34" s="2"/>
      <c r="F34" s="2"/>
      <c r="G34" s="2"/>
      <c r="H34" s="2"/>
      <c r="I34" s="2"/>
    </row>
    <row r="35" ht="25" customHeight="1" spans="1:9">
      <c r="A35" s="2"/>
      <c r="B35" s="2"/>
      <c r="C35" s="2"/>
      <c r="D35" s="2"/>
      <c r="E35" s="2"/>
      <c r="F35" s="2"/>
      <c r="G35" s="2"/>
      <c r="H35" s="2"/>
      <c r="I35" s="2"/>
    </row>
    <row r="36" ht="25" customHeight="1" spans="1:9">
      <c r="A36" s="2"/>
      <c r="B36" s="2"/>
      <c r="C36" s="2"/>
      <c r="D36" s="2"/>
      <c r="E36" s="2"/>
      <c r="F36" s="2"/>
      <c r="G36" s="2"/>
      <c r="H36" s="2"/>
      <c r="I36" s="2"/>
    </row>
    <row r="37" ht="25" customHeight="1" spans="1:9">
      <c r="A37" s="2"/>
      <c r="B37" s="2"/>
      <c r="C37" s="2"/>
      <c r="D37" s="2"/>
      <c r="E37" s="2"/>
      <c r="F37" s="2"/>
      <c r="G37" s="2"/>
      <c r="H37" s="2"/>
      <c r="I37" s="2"/>
    </row>
  </sheetData>
  <mergeCells count="6">
    <mergeCell ref="A1:I1"/>
    <mergeCell ref="A2:I3"/>
    <mergeCell ref="A20:I22"/>
    <mergeCell ref="D15:I18"/>
    <mergeCell ref="D10:I13"/>
    <mergeCell ref="D5:I8"/>
  </mergeCells>
  <dataValidations count="1">
    <dataValidation type="list" showErrorMessage="1" errorTitle="请选完整性状态" error="只允许已核齐或未核齐" sqref="B10">
      <formula1>"已核齐,未核齐"</formula1>
    </dataValidation>
  </dataValidations>
  <printOptions horizontalCentered="1"/>
  <pageMargins left="0.277777777777778" right="0.277777777777778" top="0.347222222222222" bottom="0.416666666666667" header="0.138888888888889" footer="0.166666666666667"/>
  <pageSetup paperSize="9" orientation="landscape"/>
  <headerFooter>
    <oddFooter>&amp;C原创教学模板  AI辅助整理  非自动调账&amp;R第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7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4.1"/>
  <cols>
    <col min="1" max="1" width="13" customWidth="1"/>
    <col min="2" max="2" width="23" customWidth="1"/>
    <col min="3" max="3" width="15" customWidth="1"/>
    <col min="4" max="5" width="10" customWidth="1"/>
    <col min="6" max="9" width="15" customWidth="1"/>
  </cols>
  <sheetData>
    <row r="1" ht="40" customHeight="1" spans="1:9">
      <c r="A1" s="1" t="s">
        <v>27</v>
      </c>
    </row>
    <row r="2" ht="25" customHeight="1" spans="1:9">
      <c r="A2" s="2" t="s">
        <v>28</v>
      </c>
    </row>
    <row r="3" ht="25" customHeight="1" spans="1:9">
      <c r="A3" s="3"/>
      <c r="B3" s="3"/>
      <c r="C3" s="3"/>
      <c r="D3" s="3"/>
      <c r="E3" s="3"/>
      <c r="F3" s="3"/>
      <c r="G3" s="3"/>
      <c r="H3" s="3"/>
      <c r="I3" s="3"/>
    </row>
    <row r="4" ht="25" customHeight="1" spans="1:9">
      <c r="A4" s="2"/>
      <c r="B4" s="2"/>
      <c r="C4" s="2"/>
      <c r="D4" s="2"/>
      <c r="E4" s="2"/>
      <c r="F4" s="2"/>
      <c r="G4" s="2"/>
      <c r="H4" s="2"/>
      <c r="I4" s="2"/>
    </row>
    <row r="5" ht="34" customHeight="1" spans="1:9">
      <c r="A5" s="4" t="s">
        <v>29</v>
      </c>
      <c r="B5" s="4" t="s">
        <v>30</v>
      </c>
      <c r="C5" s="4" t="s">
        <v>11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</row>
    <row r="6" ht="29" customHeight="1" spans="1:9">
      <c r="A6" s="5" t="s">
        <v>37</v>
      </c>
      <c r="B6" s="7">
        <v>46296.3125</v>
      </c>
      <c r="C6" s="5" t="s">
        <v>12</v>
      </c>
      <c r="D6" s="5">
        <v>60</v>
      </c>
      <c r="E6" s="5">
        <v>0</v>
      </c>
      <c r="F6" s="5" t="s">
        <v>38</v>
      </c>
      <c r="G6" s="5" t="s">
        <v>39</v>
      </c>
      <c r="H6" s="5" t="s">
        <v>40</v>
      </c>
      <c r="I6" s="2" t="str">
        <f>IF(COUNTA(A6:H6)=0,"",IF(OR(A6="",NOT(ISNUMBER(B6)),B6&lt;=说明与范围!$B$5,B6&gt;说明与范围!$B$7,C6&lt;&gt;说明与范围!$B$11,NOT(ISNUMBER(D6)),NOT(ISNUMBER(E6)),D6&lt;0,E6&lt;0,AND(D6&gt;0,E6&gt;0),AND(F6&lt;&gt;"已入账",F6&lt;&gt;"未入账"),G6="",H6&lt;&gt;"已核",COUNTIF($A$6:$A$35,A6)&gt;1),"待核","通过"))</f>
        <v>通过</v>
      </c>
    </row>
    <row r="7" ht="29" customHeight="1" spans="1:9">
      <c r="A7" s="5" t="s">
        <v>41</v>
      </c>
      <c r="B7" s="7">
        <v>46296.3229166667</v>
      </c>
      <c r="C7" s="5" t="s">
        <v>12</v>
      </c>
      <c r="D7" s="5">
        <v>0</v>
      </c>
      <c r="E7" s="5">
        <v>40</v>
      </c>
      <c r="F7" s="5" t="s">
        <v>38</v>
      </c>
      <c r="G7" s="5" t="s">
        <v>42</v>
      </c>
      <c r="H7" s="5" t="s">
        <v>40</v>
      </c>
      <c r="I7" s="2" t="str">
        <f>IF(COUNTA(A7:H7)=0,"",IF(OR(A7="",NOT(ISNUMBER(B7)),B7&lt;=说明与范围!$B$5,B7&gt;说明与范围!$B$7,C7&lt;&gt;说明与范围!$B$11,NOT(ISNUMBER(D7)),NOT(ISNUMBER(E7)),D7&lt;0,E7&lt;0,AND(D7&gt;0,E7&gt;0),AND(F7&lt;&gt;"已入账",F7&lt;&gt;"未入账"),G7="",H7&lt;&gt;"已核",COUNTIF($A$6:$A$35,A7)&gt;1),"待核","通过"))</f>
        <v>通过</v>
      </c>
    </row>
    <row r="8" ht="29" customHeight="1" spans="1:9">
      <c r="A8" s="5" t="s">
        <v>43</v>
      </c>
      <c r="B8" s="7">
        <v>46296.3402777778</v>
      </c>
      <c r="C8" s="5" t="s">
        <v>12</v>
      </c>
      <c r="D8" s="5">
        <v>0</v>
      </c>
      <c r="E8" s="5">
        <v>15</v>
      </c>
      <c r="F8" s="5" t="s">
        <v>38</v>
      </c>
      <c r="G8" s="5" t="s">
        <v>44</v>
      </c>
      <c r="H8" s="5" t="s">
        <v>40</v>
      </c>
      <c r="I8" s="2" t="str">
        <f>IF(COUNTA(A8:H8)=0,"",IF(OR(A8="",NOT(ISNUMBER(B8)),B8&lt;=说明与范围!$B$5,B8&gt;说明与范围!$B$7,C8&lt;&gt;说明与范围!$B$11,NOT(ISNUMBER(D8)),NOT(ISNUMBER(E8)),D8&lt;0,E8&lt;0,AND(D8&gt;0,E8&gt;0),AND(F8&lt;&gt;"已入账",F8&lt;&gt;"未入账"),G8="",H8&lt;&gt;"已核",COUNTIF($A$6:$A$35,A8)&gt;1),"待核","通过"))</f>
        <v>通过</v>
      </c>
    </row>
    <row r="9" ht="29" customHeight="1" spans="1:9">
      <c r="A9" s="5"/>
      <c r="B9" s="7"/>
      <c r="C9" s="5"/>
      <c r="D9" s="5"/>
      <c r="E9" s="5"/>
      <c r="F9" s="5"/>
      <c r="G9" s="5"/>
      <c r="H9" s="5"/>
      <c r="I9" s="2" t="str">
        <f>IF(COUNTA(A9:H9)=0,"",IF(OR(A9="",NOT(ISNUMBER(B9)),B9&lt;=说明与范围!$B$5,B9&gt;说明与范围!$B$7,C9&lt;&gt;说明与范围!$B$11,NOT(ISNUMBER(D9)),NOT(ISNUMBER(E9)),D9&lt;0,E9&lt;0,AND(D9&gt;0,E9&gt;0),AND(F9&lt;&gt;"已入账",F9&lt;&gt;"未入账"),G9="",H9&lt;&gt;"已核",COUNTIF($A$6:$A$35,A9)&gt;1),"待核","通过"))</f>
        <v/>
      </c>
    </row>
    <row r="10" ht="29" customHeight="1" spans="1:9">
      <c r="A10" s="5"/>
      <c r="B10" s="7"/>
      <c r="C10" s="5"/>
      <c r="D10" s="5"/>
      <c r="E10" s="5"/>
      <c r="F10" s="5"/>
      <c r="G10" s="5"/>
      <c r="H10" s="5"/>
      <c r="I10" s="2" t="str">
        <f>IF(COUNTA(A10:H10)=0,"",IF(OR(A10="",NOT(ISNUMBER(B10)),B10&lt;=说明与范围!$B$5,B10&gt;说明与范围!$B$7,C10&lt;&gt;说明与范围!$B$11,NOT(ISNUMBER(D10)),NOT(ISNUMBER(E10)),D10&lt;0,E10&lt;0,AND(D10&gt;0,E10&gt;0),AND(F10&lt;&gt;"已入账",F10&lt;&gt;"未入账"),G10="",H10&lt;&gt;"已核",COUNTIF($A$6:$A$35,A10)&gt;1),"待核","通过"))</f>
        <v/>
      </c>
    </row>
    <row r="11" ht="29" customHeight="1" spans="1:9">
      <c r="A11" s="5"/>
      <c r="B11" s="7"/>
      <c r="C11" s="5"/>
      <c r="D11" s="5"/>
      <c r="E11" s="5"/>
      <c r="F11" s="5"/>
      <c r="G11" s="5"/>
      <c r="H11" s="5"/>
      <c r="I11" s="2" t="str">
        <f>IF(COUNTA(A11:H11)=0,"",IF(OR(A11="",NOT(ISNUMBER(B11)),B11&lt;=说明与范围!$B$5,B11&gt;说明与范围!$B$7,C11&lt;&gt;说明与范围!$B$11,NOT(ISNUMBER(D11)),NOT(ISNUMBER(E11)),D11&lt;0,E11&lt;0,AND(D11&gt;0,E11&gt;0),AND(F11&lt;&gt;"已入账",F11&lt;&gt;"未入账"),G11="",H11&lt;&gt;"已核",COUNTIF($A$6:$A$35,A11)&gt;1),"待核","通过"))</f>
        <v/>
      </c>
    </row>
    <row r="12" ht="29" customHeight="1" spans="1:9">
      <c r="A12" s="5"/>
      <c r="B12" s="7"/>
      <c r="C12" s="5"/>
      <c r="D12" s="5"/>
      <c r="E12" s="5"/>
      <c r="F12" s="5"/>
      <c r="G12" s="5"/>
      <c r="H12" s="5"/>
      <c r="I12" s="2" t="str">
        <f>IF(COUNTA(A12:H12)=0,"",IF(OR(A12="",NOT(ISNUMBER(B12)),B12&lt;=说明与范围!$B$5,B12&gt;说明与范围!$B$7,C12&lt;&gt;说明与范围!$B$11,NOT(ISNUMBER(D12)),NOT(ISNUMBER(E12)),D12&lt;0,E12&lt;0,AND(D12&gt;0,E12&gt;0),AND(F12&lt;&gt;"已入账",F12&lt;&gt;"未入账"),G12="",H12&lt;&gt;"已核",COUNTIF($A$6:$A$35,A12)&gt;1),"待核","通过"))</f>
        <v/>
      </c>
    </row>
    <row r="13" ht="29" customHeight="1" spans="1:9">
      <c r="A13" s="5"/>
      <c r="B13" s="7"/>
      <c r="C13" s="5"/>
      <c r="D13" s="5"/>
      <c r="E13" s="5"/>
      <c r="F13" s="5"/>
      <c r="G13" s="5"/>
      <c r="H13" s="5"/>
      <c r="I13" s="2" t="str">
        <f>IF(COUNTA(A13:H13)=0,"",IF(OR(A13="",NOT(ISNUMBER(B13)),B13&lt;=说明与范围!$B$5,B13&gt;说明与范围!$B$7,C13&lt;&gt;说明与范围!$B$11,NOT(ISNUMBER(D13)),NOT(ISNUMBER(E13)),D13&lt;0,E13&lt;0,AND(D13&gt;0,E13&gt;0),AND(F13&lt;&gt;"已入账",F13&lt;&gt;"未入账"),G13="",H13&lt;&gt;"已核",COUNTIF($A$6:$A$35,A13)&gt;1),"待核","通过"))</f>
        <v/>
      </c>
    </row>
    <row r="14" ht="29" customHeight="1" spans="1:9">
      <c r="A14" s="5"/>
      <c r="B14" s="7"/>
      <c r="C14" s="5"/>
      <c r="D14" s="5"/>
      <c r="E14" s="5"/>
      <c r="F14" s="5"/>
      <c r="G14" s="5"/>
      <c r="H14" s="5"/>
      <c r="I14" s="2" t="str">
        <f>IF(COUNTA(A14:H14)=0,"",IF(OR(A14="",NOT(ISNUMBER(B14)),B14&lt;=说明与范围!$B$5,B14&gt;说明与范围!$B$7,C14&lt;&gt;说明与范围!$B$11,NOT(ISNUMBER(D14)),NOT(ISNUMBER(E14)),D14&lt;0,E14&lt;0,AND(D14&gt;0,E14&gt;0),AND(F14&lt;&gt;"已入账",F14&lt;&gt;"未入账"),G14="",H14&lt;&gt;"已核",COUNTIF($A$6:$A$35,A14)&gt;1),"待核","通过"))</f>
        <v/>
      </c>
    </row>
    <row r="15" ht="29" customHeight="1" spans="1:9">
      <c r="A15" s="5"/>
      <c r="B15" s="7"/>
      <c r="C15" s="5"/>
      <c r="D15" s="5"/>
      <c r="E15" s="5"/>
      <c r="F15" s="5"/>
      <c r="G15" s="5"/>
      <c r="H15" s="5"/>
      <c r="I15" s="2" t="str">
        <f>IF(COUNTA(A15:H15)=0,"",IF(OR(A15="",NOT(ISNUMBER(B15)),B15&lt;=说明与范围!$B$5,B15&gt;说明与范围!$B$7,C15&lt;&gt;说明与范围!$B$11,NOT(ISNUMBER(D15)),NOT(ISNUMBER(E15)),D15&lt;0,E15&lt;0,AND(D15&gt;0,E15&gt;0),AND(F15&lt;&gt;"已入账",F15&lt;&gt;"未入账"),G15="",H15&lt;&gt;"已核",COUNTIF($A$6:$A$35,A15)&gt;1),"待核","通过"))</f>
        <v/>
      </c>
    </row>
    <row r="16" ht="29" customHeight="1" spans="1:9">
      <c r="A16" s="5"/>
      <c r="B16" s="7"/>
      <c r="C16" s="5"/>
      <c r="D16" s="5"/>
      <c r="E16" s="5"/>
      <c r="F16" s="5"/>
      <c r="G16" s="5"/>
      <c r="H16" s="5"/>
      <c r="I16" s="2" t="str">
        <f>IF(COUNTA(A16:H16)=0,"",IF(OR(A16="",NOT(ISNUMBER(B16)),B16&lt;=说明与范围!$B$5,B16&gt;说明与范围!$B$7,C16&lt;&gt;说明与范围!$B$11,NOT(ISNUMBER(D16)),NOT(ISNUMBER(E16)),D16&lt;0,E16&lt;0,AND(D16&gt;0,E16&gt;0),AND(F16&lt;&gt;"已入账",F16&lt;&gt;"未入账"),G16="",H16&lt;&gt;"已核",COUNTIF($A$6:$A$35,A16)&gt;1),"待核","通过"))</f>
        <v/>
      </c>
    </row>
    <row r="17" ht="29" customHeight="1" spans="1:9">
      <c r="A17" s="5"/>
      <c r="B17" s="7"/>
      <c r="C17" s="5"/>
      <c r="D17" s="5"/>
      <c r="E17" s="5"/>
      <c r="F17" s="5"/>
      <c r="G17" s="5"/>
      <c r="H17" s="5"/>
      <c r="I17" s="2" t="str">
        <f>IF(COUNTA(A17:H17)=0,"",IF(OR(A17="",NOT(ISNUMBER(B17)),B17&lt;=说明与范围!$B$5,B17&gt;说明与范围!$B$7,C17&lt;&gt;说明与范围!$B$11,NOT(ISNUMBER(D17)),NOT(ISNUMBER(E17)),D17&lt;0,E17&lt;0,AND(D17&gt;0,E17&gt;0),AND(F17&lt;&gt;"已入账",F17&lt;&gt;"未入账"),G17="",H17&lt;&gt;"已核",COUNTIF($A$6:$A$35,A17)&gt;1),"待核","通过"))</f>
        <v/>
      </c>
    </row>
    <row r="18" ht="29" customHeight="1" spans="1:9">
      <c r="A18" s="5"/>
      <c r="B18" s="7"/>
      <c r="C18" s="5"/>
      <c r="D18" s="5"/>
      <c r="E18" s="5"/>
      <c r="F18" s="5"/>
      <c r="G18" s="5"/>
      <c r="H18" s="5"/>
      <c r="I18" s="2" t="str">
        <f>IF(COUNTA(A18:H18)=0,"",IF(OR(A18="",NOT(ISNUMBER(B18)),B18&lt;=说明与范围!$B$5,B18&gt;说明与范围!$B$7,C18&lt;&gt;说明与范围!$B$11,NOT(ISNUMBER(D18)),NOT(ISNUMBER(E18)),D18&lt;0,E18&lt;0,AND(D18&gt;0,E18&gt;0),AND(F18&lt;&gt;"已入账",F18&lt;&gt;"未入账"),G18="",H18&lt;&gt;"已核",COUNTIF($A$6:$A$35,A18)&gt;1),"待核","通过"))</f>
        <v/>
      </c>
    </row>
    <row r="19" ht="29" customHeight="1" spans="1:9">
      <c r="A19" s="5"/>
      <c r="B19" s="7"/>
      <c r="C19" s="5"/>
      <c r="D19" s="5"/>
      <c r="E19" s="5"/>
      <c r="F19" s="5"/>
      <c r="G19" s="5"/>
      <c r="H19" s="5"/>
      <c r="I19" s="2" t="str">
        <f>IF(COUNTA(A19:H19)=0,"",IF(OR(A19="",NOT(ISNUMBER(B19)),B19&lt;=说明与范围!$B$5,B19&gt;说明与范围!$B$7,C19&lt;&gt;说明与范围!$B$11,NOT(ISNUMBER(D19)),NOT(ISNUMBER(E19)),D19&lt;0,E19&lt;0,AND(D19&gt;0,E19&gt;0),AND(F19&lt;&gt;"已入账",F19&lt;&gt;"未入账"),G19="",H19&lt;&gt;"已核",COUNTIF($A$6:$A$35,A19)&gt;1),"待核","通过"))</f>
        <v/>
      </c>
    </row>
    <row r="20" ht="29" customHeight="1" spans="1:9">
      <c r="A20" s="5"/>
      <c r="B20" s="7"/>
      <c r="C20" s="5"/>
      <c r="D20" s="5"/>
      <c r="E20" s="5"/>
      <c r="F20" s="5"/>
      <c r="G20" s="5"/>
      <c r="H20" s="5"/>
      <c r="I20" s="2" t="str">
        <f>IF(COUNTA(A20:H20)=0,"",IF(OR(A20="",NOT(ISNUMBER(B20)),B20&lt;=说明与范围!$B$5,B20&gt;说明与范围!$B$7,C20&lt;&gt;说明与范围!$B$11,NOT(ISNUMBER(D20)),NOT(ISNUMBER(E20)),D20&lt;0,E20&lt;0,AND(D20&gt;0,E20&gt;0),AND(F20&lt;&gt;"已入账",F20&lt;&gt;"未入账"),G20="",H20&lt;&gt;"已核",COUNTIF($A$6:$A$35,A20)&gt;1),"待核","通过"))</f>
        <v/>
      </c>
    </row>
    <row r="21" ht="29" customHeight="1" spans="1:9">
      <c r="A21" s="5"/>
      <c r="B21" s="7"/>
      <c r="C21" s="5"/>
      <c r="D21" s="5"/>
      <c r="E21" s="5"/>
      <c r="F21" s="5"/>
      <c r="G21" s="5"/>
      <c r="H21" s="5"/>
      <c r="I21" s="2" t="str">
        <f>IF(COUNTA(A21:H21)=0,"",IF(OR(A21="",NOT(ISNUMBER(B21)),B21&lt;=说明与范围!$B$5,B21&gt;说明与范围!$B$7,C21&lt;&gt;说明与范围!$B$11,NOT(ISNUMBER(D21)),NOT(ISNUMBER(E21)),D21&lt;0,E21&lt;0,AND(D21&gt;0,E21&gt;0),AND(F21&lt;&gt;"已入账",F21&lt;&gt;"未入账"),G21="",H21&lt;&gt;"已核",COUNTIF($A$6:$A$35,A21)&gt;1),"待核","通过"))</f>
        <v/>
      </c>
    </row>
    <row r="22" ht="29" customHeight="1" spans="1:9">
      <c r="A22" s="5"/>
      <c r="B22" s="7"/>
      <c r="C22" s="5"/>
      <c r="D22" s="5"/>
      <c r="E22" s="5"/>
      <c r="F22" s="5"/>
      <c r="G22" s="5"/>
      <c r="H22" s="5"/>
      <c r="I22" s="2" t="str">
        <f>IF(COUNTA(A22:H22)=0,"",IF(OR(A22="",NOT(ISNUMBER(B22)),B22&lt;=说明与范围!$B$5,B22&gt;说明与范围!$B$7,C22&lt;&gt;说明与范围!$B$11,NOT(ISNUMBER(D22)),NOT(ISNUMBER(E22)),D22&lt;0,E22&lt;0,AND(D22&gt;0,E22&gt;0),AND(F22&lt;&gt;"已入账",F22&lt;&gt;"未入账"),G22="",H22&lt;&gt;"已核",COUNTIF($A$6:$A$35,A22)&gt;1),"待核","通过"))</f>
        <v/>
      </c>
    </row>
    <row r="23" ht="29" customHeight="1" spans="1:9">
      <c r="A23" s="5"/>
      <c r="B23" s="7"/>
      <c r="C23" s="5"/>
      <c r="D23" s="5"/>
      <c r="E23" s="5"/>
      <c r="F23" s="5"/>
      <c r="G23" s="5"/>
      <c r="H23" s="5"/>
      <c r="I23" s="2" t="str">
        <f>IF(COUNTA(A23:H23)=0,"",IF(OR(A23="",NOT(ISNUMBER(B23)),B23&lt;=说明与范围!$B$5,B23&gt;说明与范围!$B$7,C23&lt;&gt;说明与范围!$B$11,NOT(ISNUMBER(D23)),NOT(ISNUMBER(E23)),D23&lt;0,E23&lt;0,AND(D23&gt;0,E23&gt;0),AND(F23&lt;&gt;"已入账",F23&lt;&gt;"未入账"),G23="",H23&lt;&gt;"已核",COUNTIF($A$6:$A$35,A23)&gt;1),"待核","通过"))</f>
        <v/>
      </c>
    </row>
    <row r="24" ht="29" customHeight="1" spans="1:9">
      <c r="A24" s="5"/>
      <c r="B24" s="7"/>
      <c r="C24" s="5"/>
      <c r="D24" s="5"/>
      <c r="E24" s="5"/>
      <c r="F24" s="5"/>
      <c r="G24" s="5"/>
      <c r="H24" s="5"/>
      <c r="I24" s="2" t="str">
        <f>IF(COUNTA(A24:H24)=0,"",IF(OR(A24="",NOT(ISNUMBER(B24)),B24&lt;=说明与范围!$B$5,B24&gt;说明与范围!$B$7,C24&lt;&gt;说明与范围!$B$11,NOT(ISNUMBER(D24)),NOT(ISNUMBER(E24)),D24&lt;0,E24&lt;0,AND(D24&gt;0,E24&gt;0),AND(F24&lt;&gt;"已入账",F24&lt;&gt;"未入账"),G24="",H24&lt;&gt;"已核",COUNTIF($A$6:$A$35,A24)&gt;1),"待核","通过"))</f>
        <v/>
      </c>
    </row>
    <row r="25" ht="29" customHeight="1" spans="1:9">
      <c r="A25" s="5"/>
      <c r="B25" s="7"/>
      <c r="C25" s="5"/>
      <c r="D25" s="5"/>
      <c r="E25" s="5"/>
      <c r="F25" s="5"/>
      <c r="G25" s="5"/>
      <c r="H25" s="5"/>
      <c r="I25" s="2" t="str">
        <f>IF(COUNTA(A25:H25)=0,"",IF(OR(A25="",NOT(ISNUMBER(B25)),B25&lt;=说明与范围!$B$5,B25&gt;说明与范围!$B$7,C25&lt;&gt;说明与范围!$B$11,NOT(ISNUMBER(D25)),NOT(ISNUMBER(E25)),D25&lt;0,E25&lt;0,AND(D25&gt;0,E25&gt;0),AND(F25&lt;&gt;"已入账",F25&lt;&gt;"未入账"),G25="",H25&lt;&gt;"已核",COUNTIF($A$6:$A$35,A25)&gt;1),"待核","通过"))</f>
        <v/>
      </c>
    </row>
    <row r="26" ht="29" customHeight="1" spans="1:9">
      <c r="A26" s="5"/>
      <c r="B26" s="7"/>
      <c r="C26" s="5"/>
      <c r="D26" s="5"/>
      <c r="E26" s="5"/>
      <c r="F26" s="5"/>
      <c r="G26" s="5"/>
      <c r="H26" s="5"/>
      <c r="I26" s="2" t="str">
        <f>IF(COUNTA(A26:H26)=0,"",IF(OR(A26="",NOT(ISNUMBER(B26)),B26&lt;=说明与范围!$B$5,B26&gt;说明与范围!$B$7,C26&lt;&gt;说明与范围!$B$11,NOT(ISNUMBER(D26)),NOT(ISNUMBER(E26)),D26&lt;0,E26&lt;0,AND(D26&gt;0,E26&gt;0),AND(F26&lt;&gt;"已入账",F26&lt;&gt;"未入账"),G26="",H26&lt;&gt;"已核",COUNTIF($A$6:$A$35,A26)&gt;1),"待核","通过"))</f>
        <v/>
      </c>
    </row>
    <row r="27" ht="29" customHeight="1" spans="1:9">
      <c r="A27" s="5"/>
      <c r="B27" s="7"/>
      <c r="C27" s="5"/>
      <c r="D27" s="5"/>
      <c r="E27" s="5"/>
      <c r="F27" s="5"/>
      <c r="G27" s="5"/>
      <c r="H27" s="5"/>
      <c r="I27" s="2" t="str">
        <f>IF(COUNTA(A27:H27)=0,"",IF(OR(A27="",NOT(ISNUMBER(B27)),B27&lt;=说明与范围!$B$5,B27&gt;说明与范围!$B$7,C27&lt;&gt;说明与范围!$B$11,NOT(ISNUMBER(D27)),NOT(ISNUMBER(E27)),D27&lt;0,E27&lt;0,AND(D27&gt;0,E27&gt;0),AND(F27&lt;&gt;"已入账",F27&lt;&gt;"未入账"),G27="",H27&lt;&gt;"已核",COUNTIF($A$6:$A$35,A27)&gt;1),"待核","通过"))</f>
        <v/>
      </c>
    </row>
    <row r="28" ht="29" customHeight="1" spans="1:9">
      <c r="A28" s="5"/>
      <c r="B28" s="7"/>
      <c r="C28" s="5"/>
      <c r="D28" s="5"/>
      <c r="E28" s="5"/>
      <c r="F28" s="5"/>
      <c r="G28" s="5"/>
      <c r="H28" s="5"/>
      <c r="I28" s="2" t="str">
        <f>IF(COUNTA(A28:H28)=0,"",IF(OR(A28="",NOT(ISNUMBER(B28)),B28&lt;=说明与范围!$B$5,B28&gt;说明与范围!$B$7,C28&lt;&gt;说明与范围!$B$11,NOT(ISNUMBER(D28)),NOT(ISNUMBER(E28)),D28&lt;0,E28&lt;0,AND(D28&gt;0,E28&gt;0),AND(F28&lt;&gt;"已入账",F28&lt;&gt;"未入账"),G28="",H28&lt;&gt;"已核",COUNTIF($A$6:$A$35,A28)&gt;1),"待核","通过"))</f>
        <v/>
      </c>
    </row>
    <row r="29" ht="29" customHeight="1" spans="1:9">
      <c r="A29" s="5"/>
      <c r="B29" s="7"/>
      <c r="C29" s="5"/>
      <c r="D29" s="5"/>
      <c r="E29" s="5"/>
      <c r="F29" s="5"/>
      <c r="G29" s="5"/>
      <c r="H29" s="5"/>
      <c r="I29" s="2" t="str">
        <f>IF(COUNTA(A29:H29)=0,"",IF(OR(A29="",NOT(ISNUMBER(B29)),B29&lt;=说明与范围!$B$5,B29&gt;说明与范围!$B$7,C29&lt;&gt;说明与范围!$B$11,NOT(ISNUMBER(D29)),NOT(ISNUMBER(E29)),D29&lt;0,E29&lt;0,AND(D29&gt;0,E29&gt;0),AND(F29&lt;&gt;"已入账",F29&lt;&gt;"未入账"),G29="",H29&lt;&gt;"已核",COUNTIF($A$6:$A$35,A29)&gt;1),"待核","通过"))</f>
        <v/>
      </c>
    </row>
    <row r="30" ht="29" customHeight="1" spans="1:9">
      <c r="A30" s="5"/>
      <c r="B30" s="7"/>
      <c r="C30" s="5"/>
      <c r="D30" s="5"/>
      <c r="E30" s="5"/>
      <c r="F30" s="5"/>
      <c r="G30" s="5"/>
      <c r="H30" s="5"/>
      <c r="I30" s="2" t="str">
        <f>IF(COUNTA(A30:H30)=0,"",IF(OR(A30="",NOT(ISNUMBER(B30)),B30&lt;=说明与范围!$B$5,B30&gt;说明与范围!$B$7,C30&lt;&gt;说明与范围!$B$11,NOT(ISNUMBER(D30)),NOT(ISNUMBER(E30)),D30&lt;0,E30&lt;0,AND(D30&gt;0,E30&gt;0),AND(F30&lt;&gt;"已入账",F30&lt;&gt;"未入账"),G30="",H30&lt;&gt;"已核",COUNTIF($A$6:$A$35,A30)&gt;1),"待核","通过"))</f>
        <v/>
      </c>
    </row>
    <row r="31" ht="29" customHeight="1" spans="1:9">
      <c r="A31" s="5"/>
      <c r="B31" s="7"/>
      <c r="C31" s="5"/>
      <c r="D31" s="5"/>
      <c r="E31" s="5"/>
      <c r="F31" s="5"/>
      <c r="G31" s="5"/>
      <c r="H31" s="5"/>
      <c r="I31" s="2" t="str">
        <f>IF(COUNTA(A31:H31)=0,"",IF(OR(A31="",NOT(ISNUMBER(B31)),B31&lt;=说明与范围!$B$5,B31&gt;说明与范围!$B$7,C31&lt;&gt;说明与范围!$B$11,NOT(ISNUMBER(D31)),NOT(ISNUMBER(E31)),D31&lt;0,E31&lt;0,AND(D31&gt;0,E31&gt;0),AND(F31&lt;&gt;"已入账",F31&lt;&gt;"未入账"),G31="",H31&lt;&gt;"已核",COUNTIF($A$6:$A$35,A31)&gt;1),"待核","通过"))</f>
        <v/>
      </c>
    </row>
    <row r="32" ht="29" customHeight="1" spans="1:9">
      <c r="A32" s="5"/>
      <c r="B32" s="7"/>
      <c r="C32" s="5"/>
      <c r="D32" s="5"/>
      <c r="E32" s="5"/>
      <c r="F32" s="5"/>
      <c r="G32" s="5"/>
      <c r="H32" s="5"/>
      <c r="I32" s="2" t="str">
        <f>IF(COUNTA(A32:H32)=0,"",IF(OR(A32="",NOT(ISNUMBER(B32)),B32&lt;=说明与范围!$B$5,B32&gt;说明与范围!$B$7,C32&lt;&gt;说明与范围!$B$11,NOT(ISNUMBER(D32)),NOT(ISNUMBER(E32)),D32&lt;0,E32&lt;0,AND(D32&gt;0,E32&gt;0),AND(F32&lt;&gt;"已入账",F32&lt;&gt;"未入账"),G32="",H32&lt;&gt;"已核",COUNTIF($A$6:$A$35,A32)&gt;1),"待核","通过"))</f>
        <v/>
      </c>
    </row>
    <row r="33" ht="29" customHeight="1" spans="1:9">
      <c r="A33" s="5"/>
      <c r="B33" s="7"/>
      <c r="C33" s="5"/>
      <c r="D33" s="5"/>
      <c r="E33" s="5"/>
      <c r="F33" s="5"/>
      <c r="G33" s="5"/>
      <c r="H33" s="5"/>
      <c r="I33" s="2" t="str">
        <f>IF(COUNTA(A33:H33)=0,"",IF(OR(A33="",NOT(ISNUMBER(B33)),B33&lt;=说明与范围!$B$5,B33&gt;说明与范围!$B$7,C33&lt;&gt;说明与范围!$B$11,NOT(ISNUMBER(D33)),NOT(ISNUMBER(E33)),D33&lt;0,E33&lt;0,AND(D33&gt;0,E33&gt;0),AND(F33&lt;&gt;"已入账",F33&lt;&gt;"未入账"),G33="",H33&lt;&gt;"已核",COUNTIF($A$6:$A$35,A33)&gt;1),"待核","通过"))</f>
        <v/>
      </c>
    </row>
    <row r="34" ht="29" customHeight="1" spans="1:9">
      <c r="A34" s="5"/>
      <c r="B34" s="7"/>
      <c r="C34" s="5"/>
      <c r="D34" s="5"/>
      <c r="E34" s="5"/>
      <c r="F34" s="5"/>
      <c r="G34" s="5"/>
      <c r="H34" s="5"/>
      <c r="I34" s="2" t="str">
        <f>IF(COUNTA(A34:H34)=0,"",IF(OR(A34="",NOT(ISNUMBER(B34)),B34&lt;=说明与范围!$B$5,B34&gt;说明与范围!$B$7,C34&lt;&gt;说明与范围!$B$11,NOT(ISNUMBER(D34)),NOT(ISNUMBER(E34)),D34&lt;0,E34&lt;0,AND(D34&gt;0,E34&gt;0),AND(F34&lt;&gt;"已入账",F34&lt;&gt;"未入账"),G34="",H34&lt;&gt;"已核",COUNTIF($A$6:$A$35,A34)&gt;1),"待核","通过"))</f>
        <v/>
      </c>
    </row>
    <row r="35" ht="29" customHeight="1" spans="1:9">
      <c r="A35" s="5"/>
      <c r="B35" s="7"/>
      <c r="C35" s="5"/>
      <c r="D35" s="5"/>
      <c r="E35" s="5"/>
      <c r="F35" s="5"/>
      <c r="G35" s="5"/>
      <c r="H35" s="5"/>
      <c r="I35" s="2" t="str">
        <f>IF(COUNTA(A35:H35)=0,"",IF(OR(A35="",NOT(ISNUMBER(B35)),B35&lt;=说明与范围!$B$5,B35&gt;说明与范围!$B$7,C35&lt;&gt;说明与范围!$B$11,NOT(ISNUMBER(D35)),NOT(ISNUMBER(E35)),D35&lt;0,E35&lt;0,AND(D35&gt;0,E35&gt;0),AND(F35&lt;&gt;"已入账",F35&lt;&gt;"未入账"),G35="",H35&lt;&gt;"已核",COUNTIF($A$6:$A$35,A35)&gt;1),"待核","通过"))</f>
        <v/>
      </c>
    </row>
    <row r="36" ht="25" customHeight="1" spans="1:9">
      <c r="A36" s="2"/>
      <c r="B36" s="2"/>
      <c r="C36" s="2"/>
      <c r="D36" s="2"/>
      <c r="E36" s="2"/>
      <c r="F36" s="2"/>
      <c r="G36" s="2"/>
      <c r="H36" s="2"/>
      <c r="I36" s="2"/>
    </row>
    <row r="37" ht="25" customHeight="1" spans="1:9">
      <c r="A37" s="2"/>
      <c r="B37" s="2"/>
      <c r="C37" s="2"/>
      <c r="D37" s="2"/>
      <c r="E37" s="2"/>
      <c r="F37" s="2"/>
      <c r="G37" s="2"/>
      <c r="H37" s="2"/>
      <c r="I37" s="2"/>
    </row>
  </sheetData>
  <autoFilter xmlns:etc="http://www.wps.cn/officeDocument/2017/etCustomData" ref="A5:I35" etc:filterBottomFollowUsedRange="0">
    <extLst/>
  </autoFilter>
  <mergeCells count="2">
    <mergeCell ref="A1:I1"/>
    <mergeCell ref="A2:I3"/>
  </mergeCells>
  <printOptions horizontalCentered="1"/>
  <pageMargins left="0.277777777777778" right="0.277777777777778" top="0.347222222222222" bottom="0.416666666666667" header="0.138888888888889" footer="0.166666666666667"/>
  <pageSetup paperSize="9" orientation="landscape"/>
  <headerFooter>
    <oddFooter>&amp;C原创教学模板  AI辅助整理  非自动调账&amp;R第 &amp;P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7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4.1"/>
  <cols>
    <col min="1" max="1" width="27" customWidth="1"/>
    <col min="2" max="2" width="24" customWidth="1"/>
    <col min="3" max="9" width="15" customWidth="1"/>
  </cols>
  <sheetData>
    <row r="1" ht="40" customHeight="1" spans="1:9">
      <c r="A1" s="1" t="s">
        <v>45</v>
      </c>
    </row>
    <row r="2" ht="25" customHeight="1" spans="1:9">
      <c r="A2" s="2" t="s">
        <v>46</v>
      </c>
      <c r="G2" s="2" t="s">
        <v>47</v>
      </c>
      <c r="H2" s="2" t="str">
        <f>IF(OR(说明与范围!B10&lt;&gt;"已核齐",NOT(ISNUMBER(说明与范围!B5)),NOT(ISNUMBER(说明与范围!B6)),NOT(ISNUMBER(说明与范围!B7)),说明与范围!B6&lt;说明与范围!B5,说明与范围!B7&lt;说明与范围!B6,NOT(ISNUMBER(说明与范围!B8)),NOT(ISNUMBER(说明与范围!B9)),说明与范围!B8&lt;0,说明与范围!B9&lt;0,COUNTBLANK(说明与范围!B11:B16)&gt;0,说明与范围!B17&lt;&gt;"kg",COUNTIF(业务流水!I6:I35,"待核")&gt;0),"待核","通过")</f>
        <v>通过</v>
      </c>
      <c r="I2" s="2"/>
    </row>
    <row r="3" ht="25" customHeight="1" spans="1:9">
      <c r="A3" s="3"/>
      <c r="B3" s="3"/>
      <c r="C3" s="3"/>
      <c r="D3" s="3"/>
      <c r="E3" s="3"/>
      <c r="F3" s="3"/>
      <c r="G3" s="2"/>
      <c r="H3" s="2"/>
      <c r="I3" s="2"/>
    </row>
    <row r="4" ht="25" customHeight="1" spans="1:9">
      <c r="A4" s="2"/>
      <c r="B4" s="2"/>
      <c r="C4" s="2"/>
      <c r="D4" s="2"/>
      <c r="E4" s="2"/>
      <c r="F4" s="2"/>
      <c r="G4" s="2"/>
      <c r="H4" s="2"/>
      <c r="I4" s="2"/>
    </row>
    <row r="5" ht="25" customHeight="1" spans="1:9">
      <c r="A5" s="2" t="s">
        <v>6</v>
      </c>
      <c r="B5" s="6">
        <f>IF($H$2&lt;&gt;"通过","待核",说明与范围!B8)</f>
        <v>200</v>
      </c>
      <c r="C5" s="2"/>
      <c r="D5" s="2" t="s">
        <v>48</v>
      </c>
    </row>
    <row r="6" ht="25" customHeight="1" spans="1:9">
      <c r="A6" s="2" t="s">
        <v>49</v>
      </c>
      <c r="B6" s="6">
        <f>IF($H$2&lt;&gt;"通过","待核",SUMIFS(业务流水!D6:D35,业务流水!B6:B35,"&gt;"&amp;说明与范围!B5,业务流水!B6:B35,"&lt;="&amp;说明与范围!B6,业务流水!C6:C35,说明与范围!B11))</f>
        <v>60</v>
      </c>
      <c r="C6" s="2"/>
    </row>
    <row r="7" ht="25" customHeight="1" spans="1:9">
      <c r="A7" s="2" t="s">
        <v>50</v>
      </c>
      <c r="B7" s="6">
        <f>IF($H$2&lt;&gt;"通过","待核",SUMIFS(业务流水!E6:E35,业务流水!B6:B35,"&gt;"&amp;说明与范围!B5,业务流水!B6:B35,"&lt;="&amp;说明与范围!B6,业务流水!C6:C35,说明与范围!B11))</f>
        <v>40</v>
      </c>
      <c r="C7" s="2"/>
    </row>
    <row r="8" ht="25" customHeight="1" spans="1:9">
      <c r="A8" s="2" t="s">
        <v>51</v>
      </c>
      <c r="B8" s="6">
        <f>IF($H$2&lt;&gt;"通过","待核",B5+B6-B7)</f>
        <v>220</v>
      </c>
      <c r="C8" s="2"/>
      <c r="D8" s="3"/>
      <c r="E8" s="3"/>
      <c r="F8" s="3"/>
      <c r="G8" s="3"/>
      <c r="H8" s="3"/>
      <c r="I8" s="3"/>
    </row>
    <row r="9" ht="25" customHeight="1" spans="1:9">
      <c r="A9" s="2"/>
      <c r="B9" s="2"/>
      <c r="C9" s="2"/>
      <c r="D9" s="2"/>
      <c r="E9" s="2"/>
      <c r="F9" s="2"/>
      <c r="G9" s="2"/>
      <c r="H9" s="2"/>
      <c r="I9" s="2"/>
    </row>
    <row r="10" ht="25" customHeight="1" spans="1:9">
      <c r="A10" s="2" t="s">
        <v>52</v>
      </c>
      <c r="B10" s="6">
        <f>IF($H$2&lt;&gt;"通过","待核",说明与范围!B9)</f>
        <v>195</v>
      </c>
      <c r="C10" s="2"/>
      <c r="D10" s="2" t="s">
        <v>53</v>
      </c>
    </row>
    <row r="11" ht="25" customHeight="1" spans="1:9">
      <c r="A11" s="2" t="s">
        <v>54</v>
      </c>
      <c r="B11" s="6">
        <f>IF($H$2&lt;&gt;"通过","待核",SUMIFS(业务流水!D6:D35,业务流水!B6:B35,"&gt;"&amp;说明与范围!B6,业务流水!B6:B35,"&lt;="&amp;说明与范围!B7,业务流水!C6:C35,说明与范围!B11))</f>
        <v>0</v>
      </c>
      <c r="C11" s="2"/>
    </row>
    <row r="12" ht="25" customHeight="1" spans="1:9">
      <c r="A12" s="2" t="s">
        <v>55</v>
      </c>
      <c r="B12" s="6">
        <f>IF($H$2&lt;&gt;"通过","待核",SUMIFS(业务流水!E6:E35,业务流水!B6:B35,"&gt;"&amp;说明与范围!B6,业务流水!B6:B35,"&lt;="&amp;说明与范围!B7,业务流水!C6:C35,说明与范围!B11))</f>
        <v>15</v>
      </c>
      <c r="C12" s="2"/>
    </row>
    <row r="13" ht="25" customHeight="1" spans="1:9">
      <c r="A13" s="2" t="s">
        <v>56</v>
      </c>
      <c r="B13" s="6">
        <f>IF($H$2&lt;&gt;"通过","待核",B10-B11+B12)</f>
        <v>210</v>
      </c>
      <c r="C13" s="2"/>
      <c r="D13" s="3"/>
      <c r="E13" s="3"/>
      <c r="F13" s="3"/>
      <c r="G13" s="3"/>
      <c r="H13" s="3"/>
      <c r="I13" s="3"/>
    </row>
    <row r="14" ht="25" customHeight="1" spans="1:9">
      <c r="A14" s="2"/>
      <c r="B14" s="2"/>
      <c r="C14" s="2"/>
      <c r="D14" s="2"/>
      <c r="E14" s="2"/>
      <c r="F14" s="2"/>
      <c r="G14" s="2"/>
      <c r="H14" s="2"/>
      <c r="I14" s="2"/>
    </row>
    <row r="15" ht="25" customHeight="1" spans="1:9">
      <c r="A15" s="2" t="s">
        <v>57</v>
      </c>
      <c r="B15" s="6">
        <f>IF($H$2&lt;&gt;"通过","待核",B13-B8)</f>
        <v>-10</v>
      </c>
      <c r="C15" s="2"/>
      <c r="D15" s="2" t="s">
        <v>58</v>
      </c>
    </row>
    <row r="16" ht="25" customHeight="1" spans="1:9">
      <c r="A16" s="2" t="s">
        <v>59</v>
      </c>
      <c r="B16" s="6">
        <f>IF($H$2&lt;&gt;"通过","待核",B13-B5)</f>
        <v>10</v>
      </c>
      <c r="C16" s="2"/>
    </row>
    <row r="17" ht="25" customHeight="1" spans="1:9">
      <c r="A17" s="2" t="s">
        <v>60</v>
      </c>
      <c r="B17" s="2" t="str">
        <f>IF($H$2&lt;&gt;"通过","待核",IF(B15=0,"数量一致仍须核证","待复核 不自动调账"))</f>
        <v>待复核 不自动调账</v>
      </c>
      <c r="C17" s="2"/>
    </row>
    <row r="18" ht="25" customHeight="1" spans="1:9">
      <c r="A18" s="2"/>
      <c r="B18" s="2"/>
      <c r="C18" s="2"/>
      <c r="D18" s="3"/>
      <c r="E18" s="3"/>
      <c r="F18" s="3"/>
      <c r="G18" s="3"/>
      <c r="H18" s="3"/>
      <c r="I18" s="3"/>
    </row>
    <row r="19" ht="25" customHeight="1" spans="1:9">
      <c r="A19" s="2" t="s">
        <v>61</v>
      </c>
      <c r="B19" s="6">
        <f>IF($H$2&lt;&gt;"通过","待核",B8+B11-B12)</f>
        <v>205</v>
      </c>
      <c r="C19" s="2"/>
      <c r="D19" s="2"/>
      <c r="E19" s="2"/>
      <c r="F19" s="2"/>
      <c r="G19" s="2"/>
      <c r="H19" s="2"/>
      <c r="I19" s="2"/>
    </row>
    <row r="20" ht="25" customHeight="1" spans="1:9">
      <c r="A20" s="2" t="s">
        <v>62</v>
      </c>
      <c r="B20" s="2" t="str">
        <f>IF($H$2&lt;&gt;"通过","待核",IF(ABS(B15-(B10-B19))&lt;0.000001,"一致","不一致"))</f>
        <v>一致</v>
      </c>
      <c r="C20" s="2"/>
      <c r="D20" s="2"/>
      <c r="E20" s="2"/>
      <c r="F20" s="2"/>
      <c r="G20" s="2"/>
      <c r="H20" s="2"/>
      <c r="I20" s="2"/>
    </row>
    <row r="21" ht="25" customHeight="1" spans="1:9">
      <c r="A21" s="2"/>
      <c r="B21" s="2"/>
      <c r="C21" s="2"/>
      <c r="D21" s="2"/>
      <c r="E21" s="2"/>
      <c r="F21" s="2"/>
      <c r="G21" s="2"/>
      <c r="H21" s="2"/>
      <c r="I21" s="2"/>
    </row>
    <row r="22" ht="25" customHeight="1" spans="1:9">
      <c r="A22" s="2"/>
      <c r="B22" s="2"/>
      <c r="C22" s="2"/>
      <c r="D22" s="2"/>
      <c r="E22" s="2"/>
      <c r="F22" s="2"/>
      <c r="G22" s="2"/>
      <c r="H22" s="2"/>
      <c r="I22" s="2"/>
    </row>
    <row r="23" ht="25" customHeight="1" spans="1:9">
      <c r="A23" s="2"/>
      <c r="B23" s="2"/>
      <c r="C23" s="2"/>
      <c r="D23" s="2"/>
      <c r="E23" s="2"/>
      <c r="F23" s="2"/>
      <c r="G23" s="2"/>
      <c r="H23" s="2"/>
      <c r="I23" s="2"/>
    </row>
    <row r="24" ht="25" customHeight="1" spans="1:9">
      <c r="A24" s="2"/>
      <c r="B24" s="2"/>
      <c r="C24" s="2"/>
      <c r="D24" s="2"/>
      <c r="E24" s="2"/>
      <c r="F24" s="2"/>
      <c r="G24" s="2"/>
      <c r="H24" s="2"/>
      <c r="I24" s="2"/>
    </row>
    <row r="25" ht="25" customHeight="1" spans="1:9">
      <c r="A25" s="2"/>
      <c r="B25" s="2"/>
      <c r="C25" s="2"/>
      <c r="D25" s="2"/>
      <c r="E25" s="2"/>
      <c r="F25" s="2"/>
      <c r="G25" s="2"/>
      <c r="H25" s="2"/>
      <c r="I25" s="2"/>
    </row>
    <row r="26" ht="25" customHeight="1" spans="1:9">
      <c r="A26" s="2"/>
      <c r="B26" s="2"/>
      <c r="C26" s="2"/>
      <c r="D26" s="2"/>
      <c r="E26" s="2"/>
      <c r="F26" s="2"/>
      <c r="G26" s="2"/>
      <c r="H26" s="2"/>
      <c r="I26" s="2"/>
    </row>
    <row r="27" ht="25" customHeight="1" spans="1:9">
      <c r="A27" s="2"/>
      <c r="B27" s="2"/>
      <c r="C27" s="2"/>
      <c r="D27" s="2"/>
      <c r="E27" s="2"/>
      <c r="F27" s="2"/>
      <c r="G27" s="2"/>
      <c r="H27" s="2"/>
      <c r="I27" s="2"/>
    </row>
    <row r="28" ht="25" customHeight="1" spans="1:9">
      <c r="A28" s="2"/>
      <c r="B28" s="2"/>
      <c r="C28" s="2"/>
      <c r="D28" s="2"/>
      <c r="E28" s="2"/>
      <c r="F28" s="2"/>
      <c r="G28" s="2"/>
      <c r="H28" s="2"/>
      <c r="I28" s="2"/>
    </row>
    <row r="29" ht="25" customHeight="1" spans="1:9">
      <c r="A29" s="2"/>
      <c r="B29" s="2"/>
      <c r="C29" s="2"/>
      <c r="D29" s="2"/>
      <c r="E29" s="2"/>
      <c r="F29" s="2"/>
      <c r="G29" s="2"/>
      <c r="H29" s="2"/>
      <c r="I29" s="2"/>
    </row>
    <row r="30" ht="25" customHeight="1" spans="1:9">
      <c r="A30" s="2"/>
      <c r="B30" s="2"/>
      <c r="C30" s="2"/>
      <c r="D30" s="2"/>
      <c r="E30" s="2"/>
      <c r="F30" s="2"/>
      <c r="G30" s="2"/>
      <c r="H30" s="2"/>
      <c r="I30" s="2"/>
    </row>
    <row r="31" ht="25" customHeight="1" spans="1:9">
      <c r="A31" s="2"/>
      <c r="B31" s="2"/>
      <c r="C31" s="2"/>
      <c r="D31" s="2"/>
      <c r="E31" s="2"/>
      <c r="F31" s="2"/>
      <c r="G31" s="2"/>
      <c r="H31" s="2"/>
      <c r="I31" s="2"/>
    </row>
    <row r="32" ht="25" customHeight="1" spans="1:9">
      <c r="A32" s="2"/>
      <c r="B32" s="2"/>
      <c r="C32" s="2"/>
      <c r="D32" s="2"/>
      <c r="E32" s="2"/>
      <c r="F32" s="2"/>
      <c r="G32" s="2"/>
      <c r="H32" s="2"/>
      <c r="I32" s="2"/>
    </row>
    <row r="33" ht="25" customHeight="1" spans="1:9">
      <c r="A33" s="2"/>
      <c r="B33" s="2"/>
      <c r="C33" s="2"/>
      <c r="D33" s="2"/>
      <c r="E33" s="2"/>
      <c r="F33" s="2"/>
      <c r="G33" s="2"/>
      <c r="H33" s="2"/>
      <c r="I33" s="2"/>
    </row>
    <row r="34" ht="25" customHeight="1" spans="1:9">
      <c r="A34" s="2"/>
      <c r="B34" s="2"/>
      <c r="C34" s="2"/>
      <c r="D34" s="2"/>
      <c r="E34" s="2"/>
      <c r="F34" s="2"/>
      <c r="G34" s="2"/>
      <c r="H34" s="2"/>
      <c r="I34" s="2"/>
    </row>
    <row r="35" ht="25" customHeight="1" spans="1:9">
      <c r="A35" s="2"/>
      <c r="B35" s="2"/>
      <c r="C35" s="2"/>
      <c r="D35" s="2"/>
      <c r="E35" s="2"/>
      <c r="F35" s="2"/>
      <c r="G35" s="2"/>
      <c r="H35" s="2"/>
      <c r="I35" s="2"/>
    </row>
    <row r="36" ht="25" customHeight="1" spans="1:9">
      <c r="A36" s="2"/>
      <c r="B36" s="2"/>
      <c r="C36" s="2"/>
      <c r="D36" s="2"/>
      <c r="E36" s="2"/>
      <c r="F36" s="2"/>
      <c r="G36" s="2"/>
      <c r="H36" s="2"/>
      <c r="I36" s="2"/>
    </row>
    <row r="37" ht="25" customHeight="1" spans="1:9">
      <c r="A37" s="2"/>
      <c r="B37" s="2"/>
      <c r="C37" s="2"/>
      <c r="D37" s="2"/>
      <c r="E37" s="2"/>
      <c r="F37" s="2"/>
      <c r="G37" s="2"/>
      <c r="H37" s="2"/>
      <c r="I37" s="2"/>
    </row>
  </sheetData>
  <mergeCells count="5">
    <mergeCell ref="A1:I1"/>
    <mergeCell ref="A2:F3"/>
    <mergeCell ref="D15:I18"/>
    <mergeCell ref="D10:I13"/>
    <mergeCell ref="D5:I8"/>
  </mergeCells>
  <printOptions horizontalCentered="1"/>
  <pageMargins left="0.277777777777778" right="0.277777777777778" top="0.347222222222222" bottom="0.416666666666667" header="0.138888888888889" footer="0.166666666666667"/>
  <pageSetup paperSize="9" orientation="landscape"/>
  <headerFooter>
    <oddFooter>&amp;C原创教学模板  AI辅助整理  非自动调账&amp;R第 &amp;P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7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4.1"/>
  <cols>
    <col min="1" max="1" width="27" customWidth="1"/>
    <col min="2" max="2" width="24" customWidth="1"/>
    <col min="3" max="9" width="15" customWidth="1"/>
  </cols>
  <sheetData>
    <row r="1" ht="40" customHeight="1" spans="1:9">
      <c r="A1" s="1" t="s">
        <v>63</v>
      </c>
    </row>
    <row r="2" ht="25" customHeight="1" spans="1:9">
      <c r="A2" s="2" t="s">
        <v>64</v>
      </c>
    </row>
    <row r="3" ht="25" customHeight="1" spans="1:9">
      <c r="A3" s="3"/>
      <c r="B3" s="3"/>
      <c r="C3" s="3"/>
      <c r="D3" s="3"/>
      <c r="E3" s="3"/>
      <c r="F3" s="3"/>
      <c r="G3" s="3"/>
      <c r="H3" s="3"/>
      <c r="I3" s="3"/>
    </row>
    <row r="4" ht="25" customHeight="1" spans="1:9">
      <c r="A4" s="2"/>
      <c r="B4" s="2"/>
      <c r="C4" s="2"/>
      <c r="D4" s="2"/>
      <c r="E4" s="2"/>
      <c r="F4" s="2"/>
      <c r="G4" s="2"/>
      <c r="H4" s="2"/>
      <c r="I4" s="2"/>
    </row>
    <row r="5" ht="34" customHeight="1" spans="1:9">
      <c r="A5" s="4" t="s">
        <v>65</v>
      </c>
      <c r="B5" s="4" t="s">
        <v>11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70</v>
      </c>
      <c r="H5" s="4" t="s">
        <v>71</v>
      </c>
      <c r="I5" s="4" t="s">
        <v>72</v>
      </c>
    </row>
    <row r="6" ht="30" customHeight="1" spans="1:9">
      <c r="A6" s="5" t="s">
        <v>73</v>
      </c>
      <c r="B6" s="5" t="s">
        <v>12</v>
      </c>
      <c r="C6" s="5">
        <v>-10</v>
      </c>
      <c r="D6" s="5" t="s">
        <v>74</v>
      </c>
      <c r="E6" s="5" t="s">
        <v>74</v>
      </c>
      <c r="F6" s="5" t="s">
        <v>75</v>
      </c>
      <c r="G6" s="5" t="s">
        <v>76</v>
      </c>
      <c r="H6" s="5" t="s">
        <v>77</v>
      </c>
      <c r="I6" s="5" t="s">
        <v>78</v>
      </c>
    </row>
    <row r="7" ht="30" customHeight="1" spans="1:9">
      <c r="A7" s="5"/>
      <c r="B7" s="5"/>
      <c r="C7" s="5"/>
      <c r="D7" s="5"/>
      <c r="E7" s="5"/>
      <c r="F7" s="5"/>
      <c r="G7" s="5"/>
      <c r="H7" s="5"/>
      <c r="I7" s="5"/>
    </row>
    <row r="8" ht="30" customHeight="1" spans="1:9">
      <c r="A8" s="5"/>
      <c r="B8" s="5"/>
      <c r="C8" s="5"/>
      <c r="D8" s="5"/>
      <c r="E8" s="5"/>
      <c r="F8" s="5"/>
      <c r="G8" s="5"/>
      <c r="H8" s="5"/>
      <c r="I8" s="5"/>
    </row>
    <row r="9" ht="30" customHeight="1" spans="1:9">
      <c r="A9" s="5"/>
      <c r="B9" s="5"/>
      <c r="C9" s="5"/>
      <c r="D9" s="5"/>
      <c r="E9" s="5"/>
      <c r="F9" s="5"/>
      <c r="G9" s="5"/>
      <c r="H9" s="5"/>
      <c r="I9" s="5"/>
    </row>
    <row r="10" ht="30" customHeight="1" spans="1:9">
      <c r="A10" s="5"/>
      <c r="B10" s="5"/>
      <c r="C10" s="5"/>
      <c r="D10" s="5"/>
      <c r="E10" s="5"/>
      <c r="F10" s="5"/>
      <c r="G10" s="5"/>
      <c r="H10" s="5"/>
      <c r="I10" s="5"/>
    </row>
    <row r="11" ht="30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30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30" customHeight="1" spans="1:9">
      <c r="A13" s="5"/>
      <c r="B13" s="5"/>
      <c r="C13" s="5"/>
      <c r="D13" s="5"/>
      <c r="E13" s="5"/>
      <c r="F13" s="5"/>
      <c r="G13" s="5"/>
      <c r="H13" s="5"/>
      <c r="I13" s="5"/>
    </row>
    <row r="14" ht="30" customHeight="1" spans="1:9">
      <c r="A14" s="5"/>
      <c r="B14" s="5"/>
      <c r="C14" s="5"/>
      <c r="D14" s="5"/>
      <c r="E14" s="5"/>
      <c r="F14" s="5"/>
      <c r="G14" s="5"/>
      <c r="H14" s="5"/>
      <c r="I14" s="5"/>
    </row>
    <row r="15" ht="30" customHeight="1" spans="1:9">
      <c r="A15" s="5"/>
      <c r="B15" s="5"/>
      <c r="C15" s="5"/>
      <c r="D15" s="5"/>
      <c r="E15" s="5"/>
      <c r="F15" s="5"/>
      <c r="G15" s="5"/>
      <c r="H15" s="5"/>
      <c r="I15" s="5"/>
    </row>
    <row r="16" ht="30" customHeight="1" spans="1:9">
      <c r="A16" s="5"/>
      <c r="B16" s="5"/>
      <c r="C16" s="5"/>
      <c r="D16" s="5"/>
      <c r="E16" s="5"/>
      <c r="F16" s="5"/>
      <c r="G16" s="5"/>
      <c r="H16" s="5"/>
      <c r="I16" s="5"/>
    </row>
    <row r="17" ht="30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30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30" customHeight="1" spans="1:9">
      <c r="A19" s="5"/>
      <c r="B19" s="5"/>
      <c r="C19" s="5"/>
      <c r="D19" s="5"/>
      <c r="E19" s="5"/>
      <c r="F19" s="5"/>
      <c r="G19" s="5"/>
      <c r="H19" s="5"/>
      <c r="I19" s="5"/>
    </row>
    <row r="20" ht="30" customHeight="1" spans="1:9">
      <c r="A20" s="5"/>
      <c r="B20" s="5"/>
      <c r="C20" s="5"/>
      <c r="D20" s="5"/>
      <c r="E20" s="5"/>
      <c r="F20" s="5"/>
      <c r="G20" s="5"/>
      <c r="H20" s="5"/>
      <c r="I20" s="5"/>
    </row>
    <row r="21" ht="25" customHeight="1" spans="1:9">
      <c r="A21" s="2"/>
      <c r="B21" s="2"/>
      <c r="C21" s="2"/>
      <c r="D21" s="2"/>
      <c r="E21" s="2"/>
      <c r="F21" s="2"/>
      <c r="G21" s="2"/>
      <c r="H21" s="2"/>
      <c r="I21" s="2"/>
    </row>
    <row r="22" ht="25" customHeight="1" spans="1:9">
      <c r="A22" s="2"/>
      <c r="B22" s="2"/>
      <c r="C22" s="2"/>
      <c r="D22" s="2"/>
      <c r="E22" s="2"/>
      <c r="F22" s="2"/>
      <c r="G22" s="2"/>
      <c r="H22" s="2"/>
      <c r="I22" s="2"/>
    </row>
    <row r="23" ht="25" customHeight="1" spans="1:9">
      <c r="A23" s="2"/>
      <c r="B23" s="2"/>
      <c r="C23" s="2"/>
      <c r="D23" s="2"/>
      <c r="E23" s="2"/>
      <c r="F23" s="2"/>
      <c r="G23" s="2"/>
      <c r="H23" s="2"/>
      <c r="I23" s="2"/>
    </row>
    <row r="24" ht="25" customHeight="1" spans="1:9">
      <c r="A24" s="2"/>
      <c r="B24" s="2"/>
      <c r="C24" s="2"/>
      <c r="D24" s="2"/>
      <c r="E24" s="2"/>
      <c r="F24" s="2"/>
      <c r="G24" s="2"/>
      <c r="H24" s="2"/>
      <c r="I24" s="2"/>
    </row>
    <row r="25" ht="25" customHeight="1" spans="1:9">
      <c r="A25" s="2"/>
      <c r="B25" s="2"/>
      <c r="C25" s="2"/>
      <c r="D25" s="2"/>
      <c r="E25" s="2"/>
      <c r="F25" s="2"/>
      <c r="G25" s="2"/>
      <c r="H25" s="2"/>
      <c r="I25" s="2"/>
    </row>
    <row r="26" ht="25" customHeight="1" spans="1:9">
      <c r="A26" s="2"/>
      <c r="B26" s="2"/>
      <c r="C26" s="2"/>
      <c r="D26" s="2"/>
      <c r="E26" s="2"/>
      <c r="F26" s="2"/>
      <c r="G26" s="2"/>
      <c r="H26" s="2"/>
      <c r="I26" s="2"/>
    </row>
    <row r="27" ht="25" customHeight="1" spans="1:9">
      <c r="A27" s="2"/>
      <c r="B27" s="2"/>
      <c r="C27" s="2"/>
      <c r="D27" s="2"/>
      <c r="E27" s="2"/>
      <c r="F27" s="2"/>
      <c r="G27" s="2"/>
      <c r="H27" s="2"/>
      <c r="I27" s="2"/>
    </row>
    <row r="28" ht="25" customHeight="1" spans="1:9">
      <c r="A28" s="2"/>
      <c r="B28" s="2"/>
      <c r="C28" s="2"/>
      <c r="D28" s="2"/>
      <c r="E28" s="2"/>
      <c r="F28" s="2"/>
      <c r="G28" s="2"/>
      <c r="H28" s="2"/>
      <c r="I28" s="2"/>
    </row>
    <row r="29" ht="25" customHeight="1" spans="1:9">
      <c r="A29" s="2"/>
      <c r="B29" s="2"/>
      <c r="C29" s="2"/>
      <c r="D29" s="2"/>
      <c r="E29" s="2"/>
      <c r="F29" s="2"/>
      <c r="G29" s="2"/>
      <c r="H29" s="2"/>
      <c r="I29" s="2"/>
    </row>
    <row r="30" ht="25" customHeight="1" spans="1:9">
      <c r="A30" s="2"/>
      <c r="B30" s="2"/>
      <c r="C30" s="2"/>
      <c r="D30" s="2"/>
      <c r="E30" s="2"/>
      <c r="F30" s="2"/>
      <c r="G30" s="2"/>
      <c r="H30" s="2"/>
      <c r="I30" s="2"/>
    </row>
    <row r="31" ht="25" customHeight="1" spans="1:9">
      <c r="A31" s="2"/>
      <c r="B31" s="2"/>
      <c r="C31" s="2"/>
      <c r="D31" s="2"/>
      <c r="E31" s="2"/>
      <c r="F31" s="2"/>
      <c r="G31" s="2"/>
      <c r="H31" s="2"/>
      <c r="I31" s="2"/>
    </row>
    <row r="32" ht="25" customHeight="1" spans="1:9">
      <c r="A32" s="2"/>
      <c r="B32" s="2"/>
      <c r="C32" s="2"/>
      <c r="D32" s="2"/>
      <c r="E32" s="2"/>
      <c r="F32" s="2"/>
      <c r="G32" s="2"/>
      <c r="H32" s="2"/>
      <c r="I32" s="2"/>
    </row>
    <row r="33" ht="25" customHeight="1" spans="1:9">
      <c r="A33" s="2"/>
      <c r="B33" s="2"/>
      <c r="C33" s="2"/>
      <c r="D33" s="2"/>
      <c r="E33" s="2"/>
      <c r="F33" s="2"/>
      <c r="G33" s="2"/>
      <c r="H33" s="2"/>
      <c r="I33" s="2"/>
    </row>
    <row r="34" ht="25" customHeight="1" spans="1:9">
      <c r="A34" s="2"/>
      <c r="B34" s="2"/>
      <c r="C34" s="2"/>
      <c r="D34" s="2"/>
      <c r="E34" s="2"/>
      <c r="F34" s="2"/>
      <c r="G34" s="2"/>
      <c r="H34" s="2"/>
      <c r="I34" s="2"/>
    </row>
    <row r="35" ht="25" customHeight="1" spans="1:9">
      <c r="A35" s="2"/>
      <c r="B35" s="2"/>
      <c r="C35" s="2"/>
      <c r="D35" s="2"/>
      <c r="E35" s="2"/>
      <c r="F35" s="2"/>
      <c r="G35" s="2"/>
      <c r="H35" s="2"/>
      <c r="I35" s="2"/>
    </row>
    <row r="36" ht="25" customHeight="1" spans="1:9">
      <c r="A36" s="2"/>
      <c r="B36" s="2"/>
      <c r="C36" s="2"/>
      <c r="D36" s="2"/>
      <c r="E36" s="2"/>
      <c r="F36" s="2"/>
      <c r="G36" s="2"/>
      <c r="H36" s="2"/>
      <c r="I36" s="2"/>
    </row>
    <row r="37" ht="25" customHeight="1" spans="1:9">
      <c r="A37" s="2"/>
      <c r="B37" s="2"/>
      <c r="C37" s="2"/>
      <c r="D37" s="2"/>
      <c r="E37" s="2"/>
      <c r="F37" s="2"/>
      <c r="G37" s="2"/>
      <c r="H37" s="2"/>
      <c r="I37" s="2"/>
    </row>
  </sheetData>
  <mergeCells count="2">
    <mergeCell ref="A1:I1"/>
    <mergeCell ref="A2:I3"/>
  </mergeCells>
  <printOptions horizontalCentered="1"/>
  <pageMargins left="0.277777777777778" right="0.277777777777778" top="0.347222222222222" bottom="0.416666666666667" header="0.138888888888889" footer="0.166666666666667"/>
  <pageSetup paperSize="9" orientation="landscape"/>
  <headerFooter>
    <oddFooter>&amp;C原创教学模板  AI辅助整理  非自动调账&amp;R第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说明与范围</vt:lpstr>
      <vt:lpstr>业务流水</vt:lpstr>
      <vt:lpstr>时点桥接</vt:lpstr>
      <vt:lpstr>复核记录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1391853888</cp:lastModifiedBy>
  <dcterms:created xsi:type="dcterms:W3CDTF">2026-10-13T21:24:00Z</dcterms:created>
  <dcterms:modified xsi:type="dcterms:W3CDTF">2026-10-13T21:38:23Z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462F266B057A431DAEEEB5D6A39EBAD7_12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